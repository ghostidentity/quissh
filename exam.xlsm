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13_ncr:1_{E2331238-81D4-442C-B092-6DABC41A9461}" xr6:coauthVersionLast="47" xr6:coauthVersionMax="47" xr10:uidLastSave="{00000000-0000-0000-0000-000000000000}"/>
  <bookViews>
    <workbookView xWindow="-120" yWindow="-120" windowWidth="29040" windowHeight="15720" xr2:uid="{921D04D0-1EEF-44D1-BB0A-13A153D063F5}"/>
  </bookViews>
  <sheets>
    <sheet name="Core" sheetId="1" r:id="rId1"/>
    <sheet name="Analyze" sheetId="2" r:id="rId2"/>
    <sheet name="Summary" sheetId="3" r:id="rId3"/>
  </sheets>
  <functionGroups builtInGroupCount="19"/>
  <definedNames>
    <definedName name="ExternalData_1" localSheetId="0">Core!#REF!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3" l="1"/>
  <c r="C3" i="3"/>
  <c r="D3" i="3" a="1"/>
  <c r="D3" i="3" s="1"/>
  <c r="G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<sst xmlns="http://schemas.openxmlformats.org/spreadsheetml/2006/main" count="54" uniqueCount="25">
  <si>
    <t>USERNAME</t>
  </si>
  <si>
    <t>QUESTION_ID</t>
  </si>
  <si>
    <t>ANSWER</t>
  </si>
  <si>
    <t>COUNTER</t>
  </si>
  <si>
    <t>Periodic Examination</t>
  </si>
  <si>
    <t>CSV PATH:</t>
  </si>
  <si>
    <t>F:\isolated\students\exam.csv</t>
  </si>
  <si>
    <t>sysrefiners\mark</t>
  </si>
  <si>
    <t>C</t>
  </si>
  <si>
    <t>A</t>
  </si>
  <si>
    <t>B</t>
  </si>
  <si>
    <t>RATING</t>
  </si>
  <si>
    <t>TOTAL</t>
  </si>
  <si>
    <t>Student Name</t>
  </si>
  <si>
    <t>Question 1</t>
  </si>
  <si>
    <t>Question 2</t>
  </si>
  <si>
    <t>Question 3</t>
  </si>
  <si>
    <t>Question 4</t>
  </si>
  <si>
    <t>Question 5</t>
  </si>
  <si>
    <t>Question 6</t>
  </si>
  <si>
    <t>Question 7</t>
  </si>
  <si>
    <t>Question 8</t>
  </si>
  <si>
    <t>Question 9</t>
  </si>
  <si>
    <t>Question 10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</si>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</sst>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171450</xdr:rowOff>
        </xdr:from>
        <xdr:to>
          <xdr:col>7</xdr:col>
          <xdr:colOff>1247775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A0159AB-0FD0-44FC-8B71-6BAAEFB27CC7}" name="Result" displayName="Result" ref="A2:D12" totalsRowShown="0">
  <autoFilter ref="A2:D12" xr:uid="{BA0159AB-0FD0-44FC-8B71-6BAAEFB27CC7}"/>
  <tableColumns count="4">
    <tableColumn id="1" xr3:uid="{352FEE18-A885-4C94-933E-EC1147C45697}" name="USERNAME" dataDxfId="4"/>
    <tableColumn id="4" xr3:uid="{0C3931C8-50B1-4812-9E65-0CA851907FF4}" name="COUNTER" dataDxfId="3"/>
    <tableColumn id="2" xr3:uid="{A0E9C1C5-8802-4BFF-9A5E-6C9D8C047768}" name="QUESTION_ID" dataDxfId="2"/>
    <tableColumn id="3" xr3:uid="{38CFFE59-5DBF-4158-9E32-BB22C25C4ACC}" name="ANSWER" dataDxfId="1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8D5A12D-4CFD-4A57-934E-C3BB323D5365}" name="Table2" displayName="Table2" ref="A1:C11" totalsRowShown="0">
  <autoFilter ref="A1:C11" xr:uid="{98D5A12D-4CFD-4A57-934E-C3BB323D5365}"/>
  <tableColumns count="3">
    <tableColumn id="1" xr3:uid="{40298306-C17A-4BAF-B7CF-35692062766B}" name="QUESTION_ID" dataDxfId="20"/>
    <tableColumn id="2" xr3:uid="{168A3F2F-6DBB-4CAC-8CFB-45E9458278A3}" name="ANSWER" dataDxfId="19"/>
    <tableColumn id="3" xr3:uid="{90E00AF3-73C8-4462-B111-8769059E4ED7}" name="RATING" dataDxfId="18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64C3BC-46C3-4FA2-847A-EBA129FC9CCE}" name="Table3" displayName="Table3" ref="B2:M3" totalsRowShown="0" headerRowDxfId="16" dataDxfId="17">
  <autoFilter ref="B2:M3" xr:uid="{B764C3BC-46C3-4FA2-847A-EBA129FC9CCE}"/>
  <tableColumns count="12">
    <tableColumn id="1" xr3:uid="{02AD2D7A-5CC6-41F0-9B00-D7ADEC4DDEAC}" name="Student Name" dataDxfId="0"/>
    <tableColumn id="2" xr3:uid="{F7BA45D0-D8C6-4EA1-8BC3-9E9DC9D950B3}" name="Question 1" dataDxfId="15">
      <calculatedColumnFormula>INDEX(Analyze!C:C, MATCH(1, Analyze!A:A, 0))</calculatedColumnFormula>
    </tableColumn>
    <tableColumn id="3" xr3:uid="{C1E66200-69C0-4850-872D-09B8FB6CAC22}" name="Question 2" dataDxfId="5">
      <calculatedColumnFormula array="1">_xlfn.MODE.SNGL(IF(Result[QUESTION_ID]=1, Result[ANSWER]))</calculatedColumnFormula>
    </tableColumn>
    <tableColumn id="4" xr3:uid="{FD1D0523-CE3B-48BE-8591-B4A921688BB1}" name="Question 3" dataDxfId="14"/>
    <tableColumn id="5" xr3:uid="{A69B9DFF-71FA-48B2-9481-C79455424C27}" name="Question 4" dataDxfId="13"/>
    <tableColumn id="6" xr3:uid="{7F987E7E-D1D3-48E6-8384-FE54C3064261}" name="Question 5" dataDxfId="12"/>
    <tableColumn id="7" xr3:uid="{2A764853-435B-4468-8077-74905B92AE5F}" name="Question 6" dataDxfId="11"/>
    <tableColumn id="8" xr3:uid="{EA6E17BB-8787-4572-8F61-C46F556AB105}" name="Question 7" dataDxfId="10"/>
    <tableColumn id="9" xr3:uid="{B95EEBD2-5141-4D7B-9B6B-8A1F9D304D06}" name="Question 8" dataDxfId="9"/>
    <tableColumn id="10" xr3:uid="{261F0022-FC9D-4B1C-BA67-A5B3667258CB}" name="Question 9" dataDxfId="8"/>
    <tableColumn id="11" xr3:uid="{AE839A12-BD0C-49E1-BC92-42A4959CD2EB}" name="Question 10" dataDxfId="7"/>
    <tableColumn id="12" xr3:uid="{9B093C08-9461-4352-B4F4-8A92F3586EEA}" name="RESULT" dataDxfId="6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FFD0B-4530-433E-94AD-1B50FBBC40AC}">
  <sheetPr codeName="Sheet1"/>
  <dimension ref="A1:G12"/>
  <sheetViews>
    <sheetView tabSelected="1" workbookViewId="0">
      <selection activeCell="I22" sqref="I22"/>
    </sheetView>
  </sheetViews>
  <sheetFormatPr defaultRowHeight="15" x14ac:dyDescent="0.25"/>
  <cols>
    <col min="1" max="1" width="19" style="6" customWidth="1"/>
    <col min="2" max="2" width="19.140625" style="1" customWidth="1"/>
    <col min="3" max="3" width="22.140625" style="1" customWidth="1"/>
    <col min="4" max="4" width="19" style="6" customWidth="1"/>
    <col min="5" max="5" width="12.85546875" bestFit="1" customWidth="1"/>
    <col min="6" max="6" width="11.85546875" customWidth="1"/>
    <col min="7" max="7" width="12.42578125" customWidth="1"/>
    <col min="8" max="8" width="18.85546875" customWidth="1"/>
    <col min="9" max="9" width="19.7109375" customWidth="1"/>
  </cols>
  <sheetData>
    <row r="1" spans="1:7" x14ac:dyDescent="0.25">
      <c r="B1" s="4" t="s">
        <v>4</v>
      </c>
      <c r="C1" s="4"/>
      <c r="F1" t="s">
        <v>5</v>
      </c>
      <c r="G1" s="2" t="s">
        <v>6</v>
      </c>
    </row>
    <row r="2" spans="1:7" x14ac:dyDescent="0.25">
      <c r="A2" s="6" t="s">
        <v>0</v>
      </c>
      <c r="B2" s="1" t="s">
        <v>3</v>
      </c>
      <c r="C2" s="1" t="s">
        <v>1</v>
      </c>
      <c r="D2" s="6" t="s">
        <v>2</v>
      </c>
    </row>
    <row r="3" spans="1:7" x14ac:dyDescent="0.25">
      <c r="A3" s="6" t="s">
        <v>7</v>
      </c>
      <c r="B3" s="1">
        <v>1</v>
      </c>
      <c r="C3" s="5">
        <v>1</v>
      </c>
      <c r="D3" s="6" t="s">
        <v>9</v>
      </c>
    </row>
    <row r="4" spans="1:7" x14ac:dyDescent="0.25">
      <c r="A4" s="6" t="s">
        <v>7</v>
      </c>
      <c r="B4" s="1">
        <v>2</v>
      </c>
      <c r="C4" s="5">
        <v>2</v>
      </c>
      <c r="D4" s="6" t="s">
        <v>10</v>
      </c>
    </row>
    <row r="5" spans="1:7" x14ac:dyDescent="0.25">
      <c r="A5" s="6" t="s">
        <v>7</v>
      </c>
      <c r="B5" s="1">
        <v>3</v>
      </c>
      <c r="C5" s="5">
        <v>3</v>
      </c>
      <c r="D5" s="6" t="s">
        <v>8</v>
      </c>
    </row>
    <row r="6" spans="1:7" x14ac:dyDescent="0.25">
      <c r="A6" s="6" t="s">
        <v>7</v>
      </c>
      <c r="B6" s="1">
        <v>5</v>
      </c>
      <c r="C6" s="5">
        <v>4</v>
      </c>
      <c r="D6" s="6" t="s">
        <v>8</v>
      </c>
    </row>
    <row r="7" spans="1:7" x14ac:dyDescent="0.25">
      <c r="A7" s="6" t="s">
        <v>7</v>
      </c>
      <c r="B7" s="1">
        <v>6</v>
      </c>
      <c r="C7" s="5">
        <v>5</v>
      </c>
      <c r="D7" s="6" t="s">
        <v>9</v>
      </c>
    </row>
    <row r="8" spans="1:7" x14ac:dyDescent="0.25">
      <c r="A8" s="6" t="s">
        <v>7</v>
      </c>
      <c r="B8" s="1">
        <v>7</v>
      </c>
      <c r="C8" s="5">
        <v>6</v>
      </c>
      <c r="D8" s="6" t="s">
        <v>9</v>
      </c>
    </row>
    <row r="9" spans="1:7" x14ac:dyDescent="0.25">
      <c r="A9" s="6" t="s">
        <v>7</v>
      </c>
      <c r="B9" s="1">
        <v>8</v>
      </c>
      <c r="C9" s="5">
        <v>7</v>
      </c>
      <c r="D9" s="6" t="s">
        <v>10</v>
      </c>
    </row>
    <row r="10" spans="1:7" x14ac:dyDescent="0.25">
      <c r="A10" s="6" t="s">
        <v>7</v>
      </c>
      <c r="B10" s="1">
        <v>9</v>
      </c>
      <c r="C10" s="5">
        <v>8</v>
      </c>
      <c r="D10" s="6" t="s">
        <v>8</v>
      </c>
    </row>
    <row r="11" spans="1:7" x14ac:dyDescent="0.25">
      <c r="A11" s="6" t="s">
        <v>7</v>
      </c>
      <c r="B11" s="1">
        <v>10</v>
      </c>
      <c r="C11" s="5">
        <v>9</v>
      </c>
      <c r="D11" s="6" t="s">
        <v>9</v>
      </c>
    </row>
    <row r="12" spans="1:7" x14ac:dyDescent="0.25">
      <c r="A12" s="6" t="s">
        <v>7</v>
      </c>
      <c r="B12" s="1">
        <v>11</v>
      </c>
      <c r="C12" s="5">
        <v>10</v>
      </c>
      <c r="D12" s="6" t="s">
        <v>9</v>
      </c>
    </row>
  </sheetData>
  <mergeCells count="1">
    <mergeCell ref="B1:C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RefreshCSVData">
                <anchor moveWithCells="1" sizeWithCells="1">
                  <from>
                    <xdr:col>6</xdr:col>
                    <xdr:colOff>0</xdr:colOff>
                    <xdr:row>1</xdr:row>
                    <xdr:rowOff>171450</xdr:rowOff>
                  </from>
                  <to>
                    <xdr:col>7</xdr:col>
                    <xdr:colOff>1247775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2C059-0ED2-4828-9FDB-C293CEE573F4}">
  <dimension ref="A1:G11"/>
  <sheetViews>
    <sheetView workbookViewId="0">
      <selection activeCell="I18" sqref="I17:I18"/>
    </sheetView>
  </sheetViews>
  <sheetFormatPr defaultRowHeight="15" x14ac:dyDescent="0.25"/>
  <cols>
    <col min="1" max="1" width="17.140625" style="1" customWidth="1"/>
    <col min="2" max="2" width="16.85546875" style="6" customWidth="1"/>
    <col min="3" max="3" width="15" style="1" customWidth="1"/>
    <col min="7" max="7" width="9.140625" style="1"/>
  </cols>
  <sheetData>
    <row r="1" spans="1:7" x14ac:dyDescent="0.25">
      <c r="A1" s="1" t="s">
        <v>1</v>
      </c>
      <c r="B1" s="6" t="s">
        <v>2</v>
      </c>
      <c r="C1" s="1" t="s">
        <v>11</v>
      </c>
    </row>
    <row r="2" spans="1:7" x14ac:dyDescent="0.25">
      <c r="A2" s="1">
        <v>1</v>
      </c>
      <c r="B2" s="6" t="s">
        <v>9</v>
      </c>
      <c r="C2" s="1">
        <v>10</v>
      </c>
      <c r="F2" t="s">
        <v>12</v>
      </c>
      <c r="G2" s="3">
        <f>SUM(C2:C11)</f>
        <v>100</v>
      </c>
    </row>
    <row r="3" spans="1:7" x14ac:dyDescent="0.25">
      <c r="A3" s="1">
        <v>2</v>
      </c>
      <c r="B3" s="6" t="s">
        <v>10</v>
      </c>
      <c r="C3" s="1">
        <v>5</v>
      </c>
    </row>
    <row r="4" spans="1:7" x14ac:dyDescent="0.25">
      <c r="A4" s="1">
        <v>3</v>
      </c>
      <c r="B4" s="6" t="s">
        <v>9</v>
      </c>
      <c r="C4" s="1">
        <v>10</v>
      </c>
    </row>
    <row r="5" spans="1:7" x14ac:dyDescent="0.25">
      <c r="A5" s="1">
        <v>4</v>
      </c>
      <c r="B5" s="6" t="s">
        <v>9</v>
      </c>
      <c r="C5" s="1">
        <v>5</v>
      </c>
    </row>
    <row r="6" spans="1:7" x14ac:dyDescent="0.25">
      <c r="A6" s="1">
        <v>5</v>
      </c>
      <c r="B6" s="6" t="s">
        <v>8</v>
      </c>
      <c r="C6" s="1">
        <v>15</v>
      </c>
    </row>
    <row r="7" spans="1:7" x14ac:dyDescent="0.25">
      <c r="A7" s="1">
        <v>6</v>
      </c>
      <c r="B7" s="6" t="s">
        <v>9</v>
      </c>
      <c r="C7" s="1">
        <v>5</v>
      </c>
    </row>
    <row r="8" spans="1:7" x14ac:dyDescent="0.25">
      <c r="A8" s="1">
        <v>7</v>
      </c>
      <c r="B8" s="6" t="s">
        <v>10</v>
      </c>
      <c r="C8" s="1">
        <v>14</v>
      </c>
    </row>
    <row r="9" spans="1:7" x14ac:dyDescent="0.25">
      <c r="A9" s="1">
        <v>8</v>
      </c>
      <c r="B9" s="6" t="s">
        <v>9</v>
      </c>
      <c r="C9" s="1">
        <v>10</v>
      </c>
    </row>
    <row r="10" spans="1:7" x14ac:dyDescent="0.25">
      <c r="A10" s="1">
        <v>9</v>
      </c>
      <c r="B10" s="6" t="s">
        <v>8</v>
      </c>
      <c r="C10" s="1">
        <v>6</v>
      </c>
    </row>
    <row r="11" spans="1:7" x14ac:dyDescent="0.25">
      <c r="A11" s="1">
        <v>10</v>
      </c>
      <c r="B11" s="6" t="s">
        <v>9</v>
      </c>
      <c r="C11" s="1">
        <v>20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157CE-17F8-4CD3-8718-D1CAD0D9EBA2}">
  <dimension ref="B2:M7"/>
  <sheetViews>
    <sheetView workbookViewId="0">
      <selection activeCell="D7" sqref="D7"/>
    </sheetView>
  </sheetViews>
  <sheetFormatPr defaultRowHeight="15" x14ac:dyDescent="0.25"/>
  <cols>
    <col min="2" max="2" width="21.140625" customWidth="1"/>
    <col min="3" max="3" width="16.28515625" style="1" customWidth="1"/>
    <col min="4" max="4" width="16.5703125" style="1" customWidth="1"/>
    <col min="5" max="5" width="16.28515625" style="1" customWidth="1"/>
    <col min="6" max="6" width="15.28515625" style="1" customWidth="1"/>
    <col min="7" max="7" width="17.140625" style="1" customWidth="1"/>
    <col min="8" max="8" width="18.5703125" style="1" customWidth="1"/>
    <col min="9" max="9" width="18" style="1" customWidth="1"/>
    <col min="10" max="10" width="17.42578125" style="1" customWidth="1"/>
    <col min="11" max="11" width="19.7109375" style="1" customWidth="1"/>
    <col min="12" max="12" width="20.28515625" style="1" customWidth="1"/>
    <col min="13" max="13" width="17.140625" style="1" customWidth="1"/>
  </cols>
  <sheetData>
    <row r="2" spans="2:13" x14ac:dyDescent="0.25">
      <c r="B2" s="1" t="s">
        <v>13</v>
      </c>
      <c r="C2" s="1" t="s">
        <v>14</v>
      </c>
      <c r="D2" s="1" t="s">
        <v>15</v>
      </c>
      <c r="E2" s="1" t="s">
        <v>16</v>
      </c>
      <c r="F2" s="1" t="s">
        <v>17</v>
      </c>
      <c r="G2" s="1" t="s">
        <v>18</v>
      </c>
      <c r="H2" s="1" t="s">
        <v>19</v>
      </c>
      <c r="I2" s="1" t="s">
        <v>20</v>
      </c>
      <c r="J2" s="1" t="s">
        <v>21</v>
      </c>
      <c r="K2" s="1" t="s">
        <v>22</v>
      </c>
      <c r="L2" s="1" t="s">
        <v>23</v>
      </c>
      <c r="M2" s="1" t="s">
        <v>24</v>
      </c>
    </row>
    <row r="3" spans="2:13" x14ac:dyDescent="0.25">
      <c r="B3" s="6" t="s">
        <v>7</v>
      </c>
      <c r="C3" s="1">
        <f>INDEX(Analyze!C:C, MATCH(1, Analyze!A:A, 0))</f>
        <v>10</v>
      </c>
      <c r="D3" s="1" t="e" cm="1">
        <f t="array" ref="D3">_xlfn.MODE.SNGL(IF(Result[QUESTION_ID]=1, Result[ANSWER]))</f>
        <v>#N/A</v>
      </c>
    </row>
    <row r="7" spans="2:13" x14ac:dyDescent="0.25">
      <c r="D7" s="1" t="str">
        <f>INDEX(Result[ANSWER], MATCH(1, Analyze!A:A, 0))</f>
        <v>B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Core</vt:lpstr>
      <vt:lpstr>Analyze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Tagab</dc:creator>
  <cp:lastModifiedBy>Mark Tagab</cp:lastModifiedBy>
  <dcterms:created xsi:type="dcterms:W3CDTF">2024-04-21T11:50:39Z</dcterms:created>
  <dcterms:modified xsi:type="dcterms:W3CDTF">2024-04-22T02:07:55Z</dcterms:modified>
</cp:coreProperties>
</file>